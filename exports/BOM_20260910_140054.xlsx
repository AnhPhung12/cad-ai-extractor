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M_DU_TO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9"/>
    </font>
    <font>
      <name val="Arial"/>
      <b val="1"/>
      <sz val="9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right"/>
    </xf>
    <xf numFmtId="164" fontId="2" fillId="0" borderId="1" applyAlignment="1" pivotButton="0" quotePrefix="0" xfId="0">
      <alignment horizontal="right"/>
    </xf>
    <xf numFmtId="2" fontId="2" fillId="0" borderId="1" applyAlignment="1" pivotButton="0" quotePrefix="0" xfId="0">
      <alignment horizontal="right"/>
    </xf>
    <xf numFmtId="0" fontId="0" fillId="0" borderId="1" pivotButton="0" quotePrefix="0" xfId="0"/>
    <xf numFmtId="0" fontId="3" fillId="0" borderId="1" applyAlignment="1" pivotButton="0" quotePrefix="0" xfId="0">
      <alignment horizontal="center"/>
    </xf>
    <xf numFmtId="164" fontId="3" fillId="0" borderId="1" applyAlignment="1" pivotButton="0" quotePrefix="0" xfId="0">
      <alignment horizontal="right"/>
    </xf>
    <xf numFmtId="2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24" customWidth="1" min="3" max="3"/>
    <col width="44" customWidth="1" min="4" max="4"/>
    <col width="16" customWidth="1" min="5" max="5"/>
    <col width="16" customWidth="1" min="6" max="6"/>
    <col width="16" customWidth="1" min="7" max="7"/>
    <col width="8" customWidth="1" min="8" max="8"/>
    <col width="10" customWidth="1" min="9" max="9"/>
    <col width="16" customWidth="1" min="10" max="10"/>
    <col width="14" customWidth="1" min="11" max="11"/>
  </cols>
  <sheetData>
    <row r="1">
      <c r="A1" s="1" t="inlineStr">
        <is>
          <t>STT</t>
        </is>
      </c>
      <c r="B1" s="1" t="inlineStr">
        <is>
          <t>Mã VT</t>
        </is>
      </c>
      <c r="C1" s="1" t="inlineStr">
        <is>
          <t>Tên vật tư</t>
        </is>
      </c>
      <c r="D1" s="1" t="inlineStr">
        <is>
          <t>Mô tả</t>
        </is>
      </c>
      <c r="E1" s="1" t="inlineStr">
        <is>
          <t>Chiều dài (mm)</t>
        </is>
      </c>
      <c r="F1" s="1" t="inlineStr">
        <is>
          <t>Chiều rộng (mm)</t>
        </is>
      </c>
      <c r="G1" s="1" t="inlineStr">
        <is>
          <t>Chiều cao (mm)</t>
        </is>
      </c>
      <c r="H1" s="1" t="inlineStr">
        <is>
          <t>Đvt</t>
        </is>
      </c>
      <c r="I1" s="1" t="inlineStr">
        <is>
          <t>Số lượng</t>
        </is>
      </c>
      <c r="J1" s="1" t="inlineStr">
        <is>
          <t>Khối lượng (KG)</t>
        </is>
      </c>
      <c r="K1" s="1" t="inlineStr">
        <is>
          <t>DT Sơn (m2)</t>
        </is>
      </c>
    </row>
    <row r="2">
      <c r="A2" s="2" t="n">
        <v>1</v>
      </c>
      <c r="B2" s="2" t="inlineStr">
        <is>
          <t>M3</t>
        </is>
      </c>
      <c r="C2" s="3" t="inlineStr">
        <is>
          <t>Cửa người (Manhole DN500)</t>
        </is>
      </c>
      <c r="D2" s="3" t="inlineStr">
        <is>
          <t>Cụm cửa người Manhole áp lực DN500</t>
        </is>
      </c>
      <c r="E2" s="4" t="inlineStr">
        <is>
          <t>500</t>
        </is>
      </c>
      <c r="F2" s="4" t="inlineStr">
        <is>
          <t>500</t>
        </is>
      </c>
      <c r="G2" s="4" t="inlineStr">
        <is>
          <t>12</t>
        </is>
      </c>
      <c r="H2" s="2" t="inlineStr">
        <is>
          <t>Bộ</t>
        </is>
      </c>
      <c r="I2" s="2" t="n">
        <v>1</v>
      </c>
      <c r="J2" s="5" t="n">
        <v>85</v>
      </c>
      <c r="K2" s="6" t="n">
        <v>0.95</v>
      </c>
    </row>
    <row r="3">
      <c r="A3" s="2" t="n">
        <v>2</v>
      </c>
      <c r="B3" s="2" t="inlineStr">
        <is>
          <t>M1</t>
        </is>
      </c>
      <c r="C3" s="3" t="inlineStr">
        <is>
          <t>Cửa người (Manhole DN500)</t>
        </is>
      </c>
      <c r="D3" s="3" t="inlineStr">
        <is>
          <t>Cụm cửa người Manhole áp lực DN500</t>
        </is>
      </c>
      <c r="E3" s="4" t="inlineStr">
        <is>
          <t>500</t>
        </is>
      </c>
      <c r="F3" s="4" t="inlineStr">
        <is>
          <t>500</t>
        </is>
      </c>
      <c r="G3" s="4" t="inlineStr">
        <is>
          <t>12</t>
        </is>
      </c>
      <c r="H3" s="2" t="inlineStr">
        <is>
          <t>Bộ</t>
        </is>
      </c>
      <c r="I3" s="2" t="n">
        <v>1</v>
      </c>
      <c r="J3" s="5" t="n">
        <v>85</v>
      </c>
      <c r="K3" s="6" t="n">
        <v>0.95</v>
      </c>
    </row>
    <row r="4">
      <c r="A4" s="2" t="n">
        <v>3</v>
      </c>
      <c r="B4" s="2" t="inlineStr">
        <is>
          <t>1-O1</t>
        </is>
      </c>
      <c r="C4" s="3" t="inlineStr">
        <is>
          <t>Thép ống đúc</t>
        </is>
      </c>
      <c r="D4" s="3" t="inlineStr">
        <is>
          <t>Ống Ø219 (Khoan lỗ bơm mỡ)</t>
        </is>
      </c>
      <c r="E4" s="4" t="inlineStr">
        <is>
          <t>135</t>
        </is>
      </c>
      <c r="F4" s="4" t="inlineStr">
        <is>
          <t>219</t>
        </is>
      </c>
      <c r="G4" s="4" t="inlineStr">
        <is>
          <t>12.7</t>
        </is>
      </c>
      <c r="H4" s="2" t="inlineStr">
        <is>
          <t>Cái</t>
        </is>
      </c>
      <c r="I4" s="2" t="n">
        <v>1</v>
      </c>
      <c r="J4" s="5" t="n">
        <v>8.699999999999999</v>
      </c>
      <c r="K4" s="6" t="n">
        <v>0.18</v>
      </c>
    </row>
    <row r="5">
      <c r="A5" s="2" t="n">
        <v>4</v>
      </c>
      <c r="B5" s="2" t="inlineStr">
        <is>
          <t>1-P1</t>
        </is>
      </c>
      <c r="C5" s="3" t="inlineStr">
        <is>
          <t>Thép tấm SS400</t>
        </is>
      </c>
      <c r="D5" s="3" t="inlineStr">
        <is>
          <t>Tôn 16mm trước tiện</t>
        </is>
      </c>
      <c r="E5" s="4" t="inlineStr">
        <is>
          <t>805</t>
        </is>
      </c>
      <c r="F5" s="4" t="inlineStr">
        <is>
          <t>805</t>
        </is>
      </c>
      <c r="G5" s="4" t="inlineStr">
        <is>
          <t>16.0</t>
        </is>
      </c>
      <c r="H5" s="2" t="inlineStr">
        <is>
          <t>Tấm</t>
        </is>
      </c>
      <c r="I5" s="2" t="n">
        <v>2</v>
      </c>
      <c r="J5" s="5" t="n">
        <v>125.4</v>
      </c>
      <c r="K5" s="6" t="n">
        <v>2.04</v>
      </c>
    </row>
    <row r="6">
      <c r="A6" s="2" t="n">
        <v>5</v>
      </c>
      <c r="B6" s="2" t="inlineStr">
        <is>
          <t>1-O2</t>
        </is>
      </c>
      <c r="C6" s="3" t="inlineStr">
        <is>
          <t>Thép láp S45C</t>
        </is>
      </c>
      <c r="D6" s="3" t="inlineStr">
        <is>
          <t>Láp Ø195 (Khoan lỗ sau tiện)</t>
        </is>
      </c>
      <c r="E6" s="4" t="inlineStr">
        <is>
          <t>95</t>
        </is>
      </c>
      <c r="F6" s="4" t="inlineStr">
        <is>
          <t>195</t>
        </is>
      </c>
      <c r="G6" s="4" t="inlineStr">
        <is>
          <t>195.0</t>
        </is>
      </c>
      <c r="H6" s="2" t="inlineStr">
        <is>
          <t>Cái</t>
        </is>
      </c>
      <c r="I6" s="2" t="n">
        <v>2</v>
      </c>
      <c r="J6" s="5" t="n">
        <v>44.4</v>
      </c>
      <c r="K6" s="6" t="n">
        <v>0.24</v>
      </c>
    </row>
    <row r="7">
      <c r="A7" s="2" t="n">
        <v>6</v>
      </c>
      <c r="B7" s="2" t="inlineStr">
        <is>
          <t>1-P2</t>
        </is>
      </c>
      <c r="C7" s="3" t="inlineStr">
        <is>
          <t>Thép tấm SS400</t>
        </is>
      </c>
      <c r="D7" s="3" t="inlineStr">
        <is>
          <t>SS400 20mm</t>
        </is>
      </c>
      <c r="E7" s="4" t="inlineStr">
        <is>
          <t>219</t>
        </is>
      </c>
      <c r="F7" s="4" t="inlineStr">
        <is>
          <t>219</t>
        </is>
      </c>
      <c r="G7" s="4" t="inlineStr">
        <is>
          <t>20.0</t>
        </is>
      </c>
      <c r="H7" s="2" t="inlineStr">
        <is>
          <t>Tấm</t>
        </is>
      </c>
      <c r="I7" s="2" t="n">
        <v>1</v>
      </c>
      <c r="J7" s="5" t="n">
        <v>5.8</v>
      </c>
      <c r="K7" s="6" t="n">
        <v>0.1</v>
      </c>
    </row>
    <row r="8">
      <c r="A8" s="2" t="n">
        <v>7</v>
      </c>
      <c r="B8" s="2" t="inlineStr">
        <is>
          <t>1-P3</t>
        </is>
      </c>
      <c r="C8" s="3" t="inlineStr">
        <is>
          <t>Thép tấm SS400</t>
        </is>
      </c>
      <c r="D8" s="3" t="inlineStr">
        <is>
          <t>SS400 20mm</t>
        </is>
      </c>
      <c r="E8" s="4" t="inlineStr">
        <is>
          <t>219</t>
        </is>
      </c>
      <c r="F8" s="4" t="inlineStr">
        <is>
          <t>219</t>
        </is>
      </c>
      <c r="G8" s="4" t="inlineStr">
        <is>
          <t>20.0</t>
        </is>
      </c>
      <c r="H8" s="2" t="inlineStr">
        <is>
          <t>Tấm</t>
        </is>
      </c>
      <c r="I8" s="2" t="n">
        <v>1</v>
      </c>
      <c r="J8" s="5" t="n">
        <v>4.6</v>
      </c>
      <c r="K8" s="6" t="n">
        <v>0.1</v>
      </c>
    </row>
    <row r="9">
      <c r="A9" s="2" t="n">
        <v>8</v>
      </c>
      <c r="B9" s="2" t="inlineStr">
        <is>
          <t>2-P5</t>
        </is>
      </c>
      <c r="C9" s="3" t="inlineStr">
        <is>
          <t>Thép tấm SS400</t>
        </is>
      </c>
      <c r="D9" s="3" t="inlineStr">
        <is>
          <t>SS400 16mm trước tiện tấm</t>
        </is>
      </c>
      <c r="E9" s="4" t="inlineStr">
        <is>
          <t>805</t>
        </is>
      </c>
      <c r="F9" s="4" t="inlineStr">
        <is>
          <t>805</t>
        </is>
      </c>
      <c r="G9" s="4" t="inlineStr">
        <is>
          <t>16.0</t>
        </is>
      </c>
      <c r="H9" s="2" t="inlineStr">
        <is>
          <t>Tấm</t>
        </is>
      </c>
      <c r="I9" s="2" t="n">
        <v>2</v>
      </c>
      <c r="J9" s="5" t="n">
        <v>32.6</v>
      </c>
      <c r="K9" s="6" t="n">
        <v>2.04</v>
      </c>
    </row>
    <row r="10">
      <c r="A10" s="2" t="n">
        <v>9</v>
      </c>
      <c r="B10" s="2" t="inlineStr">
        <is>
          <t>2-P1</t>
        </is>
      </c>
      <c r="C10" s="3" t="inlineStr">
        <is>
          <t>Thép tấm SS400</t>
        </is>
      </c>
      <c r="D10" s="3" t="inlineStr">
        <is>
          <t>SS400 8mm</t>
        </is>
      </c>
      <c r="E10" s="4" t="inlineStr">
        <is>
          <t>800</t>
        </is>
      </c>
      <c r="F10" s="4" t="inlineStr">
        <is>
          <t>291</t>
        </is>
      </c>
      <c r="G10" s="4" t="inlineStr">
        <is>
          <t>8.0</t>
        </is>
      </c>
      <c r="H10" s="2" t="inlineStr">
        <is>
          <t>Tấm</t>
        </is>
      </c>
      <c r="I10" s="2" t="n">
        <v>2</v>
      </c>
      <c r="J10" s="5" t="n">
        <v>17.4</v>
      </c>
      <c r="K10" s="6" t="n">
        <v>0.92</v>
      </c>
    </row>
    <row r="11">
      <c r="A11" s="2" t="n">
        <v>10</v>
      </c>
      <c r="B11" s="2" t="inlineStr">
        <is>
          <t>2-P3</t>
        </is>
      </c>
      <c r="C11" s="3" t="inlineStr">
        <is>
          <t>Thép tấm SS400</t>
        </is>
      </c>
      <c r="D11" s="3" t="inlineStr">
        <is>
          <t>SS400 8mm</t>
        </is>
      </c>
      <c r="E11" s="4" t="inlineStr">
        <is>
          <t>900</t>
        </is>
      </c>
      <c r="F11" s="4" t="inlineStr">
        <is>
          <t>302</t>
        </is>
      </c>
      <c r="G11" s="4" t="inlineStr">
        <is>
          <t>8.0</t>
        </is>
      </c>
      <c r="H11" s="2" t="inlineStr">
        <is>
          <t>Tấm</t>
        </is>
      </c>
      <c r="I11" s="2" t="n">
        <v>2</v>
      </c>
      <c r="J11" s="5" t="n">
        <v>20.4</v>
      </c>
      <c r="K11" s="6" t="n">
        <v>1.08</v>
      </c>
    </row>
    <row r="12">
      <c r="A12" s="2" t="n">
        <v>11</v>
      </c>
      <c r="B12" s="2" t="inlineStr">
        <is>
          <t>2-P4</t>
        </is>
      </c>
      <c r="C12" s="3" t="inlineStr">
        <is>
          <t>Thép tấm SS400</t>
        </is>
      </c>
      <c r="D12" s="3" t="inlineStr">
        <is>
          <t>SS400 8mm</t>
        </is>
      </c>
      <c r="E12" s="4" t="inlineStr">
        <is>
          <t>1000</t>
        </is>
      </c>
      <c r="F12" s="4" t="inlineStr">
        <is>
          <t>335</t>
        </is>
      </c>
      <c r="G12" s="4" t="inlineStr">
        <is>
          <t>8.0</t>
        </is>
      </c>
      <c r="H12" s="2" t="inlineStr">
        <is>
          <t>Tấm</t>
        </is>
      </c>
      <c r="I12" s="2" t="n">
        <v>2</v>
      </c>
      <c r="J12" s="5" t="n">
        <v>42</v>
      </c>
      <c r="K12" s="6" t="n">
        <v>1.34</v>
      </c>
    </row>
    <row r="13">
      <c r="A13" s="2" t="n">
        <v>12</v>
      </c>
      <c r="B13" s="2" t="inlineStr">
        <is>
          <t>2-P6</t>
        </is>
      </c>
      <c r="C13" s="3" t="inlineStr">
        <is>
          <t>Thép tấm SS400</t>
        </is>
      </c>
      <c r="D13" s="3" t="inlineStr">
        <is>
          <t>SS400 12mm (vỏ cuốn)</t>
        </is>
      </c>
      <c r="E13" s="4" t="inlineStr">
        <is>
          <t>2160</t>
        </is>
      </c>
      <c r="F13" s="4" t="inlineStr">
        <is>
          <t>1090</t>
        </is>
      </c>
      <c r="G13" s="4" t="inlineStr">
        <is>
          <t>12.0</t>
        </is>
      </c>
      <c r="H13" s="2" t="inlineStr">
        <is>
          <t>Tấm</t>
        </is>
      </c>
      <c r="I13" s="2" t="n">
        <v>1</v>
      </c>
      <c r="J13" s="5" t="n">
        <v>221.8</v>
      </c>
      <c r="K13" s="6" t="n">
        <v>4.71</v>
      </c>
    </row>
    <row r="14">
      <c r="A14" s="2" t="n">
        <v>13</v>
      </c>
      <c r="B14" s="2" t="inlineStr">
        <is>
          <t>2-P2</t>
        </is>
      </c>
      <c r="C14" s="3" t="inlineStr">
        <is>
          <t>Thép tấm SS400</t>
        </is>
      </c>
      <c r="D14" s="3" t="inlineStr">
        <is>
          <t>SS400 8mm</t>
        </is>
      </c>
      <c r="E14" s="4" t="inlineStr">
        <is>
          <t>1000</t>
        </is>
      </c>
      <c r="F14" s="4" t="inlineStr">
        <is>
          <t>310</t>
        </is>
      </c>
      <c r="G14" s="4" t="inlineStr">
        <is>
          <t>8.0</t>
        </is>
      </c>
      <c r="H14" s="2" t="inlineStr">
        <is>
          <t>Tấm</t>
        </is>
      </c>
      <c r="I14" s="2" t="n">
        <v>2</v>
      </c>
      <c r="J14" s="5" t="n">
        <v>39</v>
      </c>
      <c r="K14" s="6" t="n">
        <v>1.24</v>
      </c>
    </row>
    <row r="15">
      <c r="A15" s="2" t="n">
        <v>14</v>
      </c>
      <c r="B15" s="2" t="inlineStr">
        <is>
          <t>3-P1</t>
        </is>
      </c>
      <c r="C15" s="3" t="inlineStr">
        <is>
          <t>Thép tấm SS400</t>
        </is>
      </c>
      <c r="D15" s="3" t="inlineStr">
        <is>
          <t>SS400 10mm</t>
        </is>
      </c>
      <c r="E15" s="4" t="inlineStr">
        <is>
          <t>636</t>
        </is>
      </c>
      <c r="F15" s="4" t="inlineStr">
        <is>
          <t>636</t>
        </is>
      </c>
      <c r="G15" s="4" t="inlineStr">
        <is>
          <t>10.0</t>
        </is>
      </c>
      <c r="H15" s="2" t="inlineStr">
        <is>
          <t>Tấm</t>
        </is>
      </c>
      <c r="I15" s="2" t="n">
        <v>2</v>
      </c>
      <c r="J15" s="5" t="n">
        <v>48.4</v>
      </c>
      <c r="K15" s="6" t="n">
        <v>1.62</v>
      </c>
    </row>
    <row r="16">
      <c r="A16" s="2" t="n">
        <v>15</v>
      </c>
      <c r="B16" s="2" t="inlineStr">
        <is>
          <t>3-P2</t>
        </is>
      </c>
      <c r="C16" s="3" t="inlineStr">
        <is>
          <t>Thép tấm SS400</t>
        </is>
      </c>
      <c r="D16" s="3" t="inlineStr">
        <is>
          <t>SS400 10mm (cánh quay)</t>
        </is>
      </c>
      <c r="E16" s="4" t="inlineStr">
        <is>
          <t>1010</t>
        </is>
      </c>
      <c r="F16" s="4" t="inlineStr">
        <is>
          <t>209</t>
        </is>
      </c>
      <c r="G16" s="4" t="inlineStr">
        <is>
          <t>10.0</t>
        </is>
      </c>
      <c r="H16" s="2" t="inlineStr">
        <is>
          <t>Tấm</t>
        </is>
      </c>
      <c r="I16" s="2" t="n">
        <v>8</v>
      </c>
      <c r="J16" s="5" t="n">
        <v>112</v>
      </c>
      <c r="K16" s="6" t="n">
        <v>3.36</v>
      </c>
    </row>
    <row r="17">
      <c r="A17" s="2" t="n">
        <v>16</v>
      </c>
      <c r="B17" s="2" t="inlineStr">
        <is>
          <t>3-O2</t>
        </is>
      </c>
      <c r="C17" s="3" t="inlineStr">
        <is>
          <t>Thép ống đúc</t>
        </is>
      </c>
      <c r="D17" s="3" t="inlineStr">
        <is>
          <t>Ống Ø200.0x6.0 - L=300mm</t>
        </is>
      </c>
      <c r="E17" s="4" t="inlineStr">
        <is>
          <t>300</t>
        </is>
      </c>
      <c r="F17" s="4" t="inlineStr">
        <is>
          <t>200</t>
        </is>
      </c>
      <c r="G17" s="4" t="inlineStr">
        <is>
          <t>6.0</t>
        </is>
      </c>
      <c r="H17" s="2" t="inlineStr">
        <is>
          <t>Cái</t>
        </is>
      </c>
      <c r="I17" s="2" t="n">
        <v>1</v>
      </c>
      <c r="J17" s="5" t="n">
        <v>8.6</v>
      </c>
      <c r="K17" s="6" t="n">
        <v>0.19</v>
      </c>
    </row>
    <row r="18">
      <c r="A18" s="7" t="n"/>
      <c r="B18" s="7" t="n"/>
      <c r="C18" s="8" t="inlineStr">
        <is>
          <t>TỔNG CỘNG</t>
        </is>
      </c>
      <c r="D18" s="7" t="n"/>
      <c r="E18" s="7" t="n"/>
      <c r="F18" s="7" t="n"/>
      <c r="G18" s="7" t="n"/>
      <c r="H18" s="7" t="n"/>
      <c r="I18" s="7" t="n"/>
      <c r="J18" s="9">
        <f>SUM(J2:J17)</f>
        <v/>
      </c>
      <c r="K18" s="10">
        <f>SUM(K2:K17)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2026-09-10T07:00:54Z</dcterms:created>
  <dcterms:modified xsi:type="dcterms:W3CDTF">2026-09-10T07:00:54Z</dcterms:modified>
</cp:coreProperties>
</file>